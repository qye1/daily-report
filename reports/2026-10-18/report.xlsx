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Дни" sheetId="2" state="visible" r:id="rId4"/>
    <sheet name="Регионы" sheetId="3" state="visible" r:id="rId5"/>
    <sheet name="Категории" sheetId="4" state="visible" r:id="rId6"/>
    <sheet name="Проверки данны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<sst xmlns="http://schemas.openxmlformats.org/spreadsheetml/2006/main" count="79" uniqueCount="58">
  <si>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 xml:space="preserve">Ежедневный отчет по продажам</t>
  </si>
  <si>
    <t xml:space="preserve">Отчетная дата (можно менять)</t>
  </si>
  <si>
    <t xml:space="preserve">Показатель</t>
  </si>
  <si>
    <t xml:space="preserve">Отчетный день</t>
  </si>
  <si>
    <t xml:space="preserve">Неделей раньше</t>
  </si>
  <si>
    <t xml:space="preserve">Изменение</t>
  </si>
  <si>
    <t xml:space="preserve">Выручка</t>
  </si>
  <si>
    <t xml:space="preserve">Заказы</t>
  </si>
  <si>
    <t xml:space="preserve">Средний чек</t>
  </si>
  <si>
    <t xml:space="preserve">Покупатели</t>
  </si>
  <si>
    <t xml:space="preserve">Период</t>
  </si>
  <si>
    <t xml:space="preserve">Предыдущий период</t>
  </si>
  <si>
    <t xml:space="preserve">Последние 7 дней</t>
  </si>
  <si>
    <t xml:space="preserve">С начала месяца</t>
  </si>
  <si>
    <t xml:space="preserve">Для месяца нужна история с начала прошлого месяца: в таблице хранится последние 60 дней.</t>
  </si>
  <si>
    <t xml:space="preserve">Выводы</t>
  </si>
  <si>
    <t xml:space="preserve">Выручка за 18.10.2026: 1,04 млн ₽, −56,2% к такому же дню неделей раньше.</t>
  </si>
  <si>
    <t xml:space="preserve">Значение заметно ниже обычного для этого дня недели: ожидалось около 1,88 млн ₽, отклонение 4,7 робастных сигм.</t>
  </si>
  <si>
    <t xml:space="preserve">Главный вклад в изменение к прошлой неделе дал регион «Москва»: −431 тыс ₽.</t>
  </si>
  <si>
    <t xml:space="preserve">Главный вклад в изменение к прошлой неделе дала категория «электроника»: −614 тыс ₽.</t>
  </si>
  <si>
    <t xml:space="preserve">За последние 7 дней выручка −10,5% к предыдущим семи дням.</t>
  </si>
  <si>
    <t xml:space="preserve">Выводы записаны на момент сборки отчета для даты из названия файла, остальное на листе пересчитывается.</t>
  </si>
  <si>
    <t xml:space="preserve">Дата</t>
  </si>
  <si>
    <t xml:space="preserve">Выручка, среднее за 7 дней</t>
  </si>
  <si>
    <t xml:space="preserve">К тому же дню неделей раньше</t>
  </si>
  <si>
    <t xml:space="preserve">Регион</t>
  </si>
  <si>
    <t xml:space="preserve">Изменение, сумма</t>
  </si>
  <si>
    <t xml:space="preserve">Изменение, %</t>
  </si>
  <si>
    <t xml:space="preserve">Доля в выручке</t>
  </si>
  <si>
    <t xml:space="preserve">Москва</t>
  </si>
  <si>
    <t xml:space="preserve">Юг</t>
  </si>
  <si>
    <t xml:space="preserve">Санкт Петербург</t>
  </si>
  <si>
    <t xml:space="preserve">Сибирь</t>
  </si>
  <si>
    <t xml:space="preserve">Урал</t>
  </si>
  <si>
    <t xml:space="preserve">Поволжье</t>
  </si>
  <si>
    <t xml:space="preserve">Итого</t>
  </si>
  <si>
    <t xml:space="preserve">Категория</t>
  </si>
  <si>
    <t xml:space="preserve">электроника</t>
  </si>
  <si>
    <t xml:space="preserve">дом</t>
  </si>
  <si>
    <t xml:space="preserve">одежда</t>
  </si>
  <si>
    <t xml:space="preserve">красота</t>
  </si>
  <si>
    <t xml:space="preserve">Проверка</t>
  </si>
  <si>
    <t xml:space="preserve">Статус</t>
  </si>
  <si>
    <t xml:space="preserve">Подробности</t>
  </si>
  <si>
    <t xml:space="preserve">свежесть данных</t>
  </si>
  <si>
    <t xml:space="preserve">в порядке</t>
  </si>
  <si>
    <t xml:space="preserve">за 18.10.2026 найдено 173 заказов</t>
  </si>
  <si>
    <t xml:space="preserve">объем заказов</t>
  </si>
  <si>
    <t xml:space="preserve">173 заказов при обычных 304 (57%)</t>
  </si>
  <si>
    <t xml:space="preserve">дубли заказов</t>
  </si>
  <si>
    <t xml:space="preserve">дублей нет</t>
  </si>
  <si>
    <t xml:space="preserve">пропуски в поле region</t>
  </si>
  <si>
    <t xml:space="preserve">пропусков нет</t>
  </si>
  <si>
    <t xml:space="preserve">пропуски в поле category</t>
  </si>
  <si>
    <t xml:space="preserve">суммы оплаченных заказов</t>
  </si>
  <si>
    <t xml:space="preserve">все суммы положительные</t>
  </si>
  <si>
    <t xml:space="preserve">заказы из будущего</t>
  </si>
  <si>
    <t xml:space="preserve">нет (строк позже отчетной даты 749, это повторная сборка за прошлый день, они не учитываются)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</si>
</sst>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#,##0"/>
    <numFmt numFmtId="167" formatCode="0.0%;[RED]\-0.0%;0.0%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6CB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71809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C2"/>
        <bgColor rgb="FFFFFF99"/>
      </patternFill>
    </fill>
    <fill>
      <patternFill patternType="solid">
        <fgColor rgb="FF2B6CB0"/>
        <bgColor rgb="FF4A7EBB"/>
      </patternFill>
    </fill>
    <fill>
      <patternFill patternType="solid">
        <fgColor rgb="FFC6F6D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ED7D7"/>
        </patternFill>
      </fill>
    </dxf>
    <dxf>
      <fill>
        <patternFill>
          <bgColor rgb="FFC6F6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5C2"/>
      <rgbColor rgb="FFCCFF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FFF99"/>
      <rgbColor rgb="FF99CCFF"/>
      <rgbColor rgb="FFFF99CC"/>
      <rgbColor rgb="FFCC99FF"/>
      <rgbColor rgb="FFFED7D7"/>
      <rgbColor rgb="FF4A7EBB"/>
      <rgbColor rgb="FF33CCCC"/>
      <rgbColor rgb="FF99CC00"/>
      <rgbColor rgb="FFFFCC00"/>
      <rgbColor rgb="FFFF9900"/>
      <rgbColor rgb="FFFF6600"/>
      <rgbColor rgb="FF71809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за 30 дней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"Выручка"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Дни!$A$32:$A$61</c:f>
              <c:strCache>
                <c:ptCount val="30"/>
                <c:pt idx="0">
                  <c:v>19.09.2026</c:v>
                </c:pt>
                <c:pt idx="1">
                  <c:v>20.09.2026</c:v>
                </c:pt>
                <c:pt idx="2">
                  <c:v>21.09.2026</c:v>
                </c:pt>
                <c:pt idx="3">
                  <c:v>22.09.2026</c:v>
                </c:pt>
                <c:pt idx="4">
                  <c:v>23.09.2026</c:v>
                </c:pt>
                <c:pt idx="5">
                  <c:v>24.09.2026</c:v>
                </c:pt>
                <c:pt idx="6">
                  <c:v>25.09.2026</c:v>
                </c:pt>
                <c:pt idx="7">
                  <c:v>26.09.2026</c:v>
                </c:pt>
                <c:pt idx="8">
                  <c:v>27.09.2026</c:v>
                </c:pt>
                <c:pt idx="9">
                  <c:v>28.09.2026</c:v>
                </c:pt>
                <c:pt idx="10">
                  <c:v>29.09.2026</c:v>
                </c:pt>
                <c:pt idx="11">
                  <c:v>30.09.2026</c:v>
                </c:pt>
                <c:pt idx="12">
                  <c:v>01.10.2026</c:v>
                </c:pt>
                <c:pt idx="13">
                  <c:v>02.10.2026</c:v>
                </c:pt>
                <c:pt idx="14">
                  <c:v>03.10.2026</c:v>
                </c:pt>
                <c:pt idx="15">
                  <c:v>04.10.2026</c:v>
                </c:pt>
                <c:pt idx="16">
                  <c:v>05.10.2026</c:v>
                </c:pt>
                <c:pt idx="17">
                  <c:v>06.10.2026</c:v>
                </c:pt>
                <c:pt idx="18">
                  <c:v>07.10.2026</c:v>
                </c:pt>
                <c:pt idx="19">
                  <c:v>08.10.2026</c:v>
                </c:pt>
                <c:pt idx="20">
                  <c:v>09.10.2026</c:v>
                </c:pt>
                <c:pt idx="21">
                  <c:v>10.10.2026</c:v>
                </c:pt>
                <c:pt idx="22">
                  <c:v>11.10.2026</c:v>
                </c:pt>
                <c:pt idx="23">
                  <c:v>12.10.2026</c:v>
                </c:pt>
                <c:pt idx="24">
                  <c:v>13.10.2026</c:v>
                </c:pt>
                <c:pt idx="25">
                  <c:v>14.10.2026</c:v>
                </c:pt>
                <c:pt idx="26">
                  <c:v>15.10.2026</c:v>
                </c:pt>
                <c:pt idx="27">
                  <c:v>16.10.2026</c:v>
                </c:pt>
                <c:pt idx="28">
                  <c:v>17.10.2026</c:v>
                </c:pt>
                <c:pt idx="29">
                  <c:v>18.10.2026</c:v>
                </c:pt>
              </c:strCache>
            </c:strRef>
          </c:cat>
          <c:val>
            <c:numRef>
              <c:f>Дни!$B$32:$B$61</c:f>
              <c:numCache>
                <c:formatCode>#,##0</c:formatCode>
                <c:ptCount val="30"/>
                <c:pt idx="0">
                  <c:v>2185378.03</c:v>
                </c:pt>
                <c:pt idx="1">
                  <c:v>1691337.3</c:v>
                </c:pt>
                <c:pt idx="2">
                  <c:v>1545595.68</c:v>
                </c:pt>
                <c:pt idx="3">
                  <c:v>1344740.09</c:v>
                </c:pt>
                <c:pt idx="4">
                  <c:v>1759326.85</c:v>
                </c:pt>
                <c:pt idx="5">
                  <c:v>1717086.1</c:v>
                </c:pt>
                <c:pt idx="6">
                  <c:v>2009460.8</c:v>
                </c:pt>
                <c:pt idx="7">
                  <c:v>2193776.61</c:v>
                </c:pt>
                <c:pt idx="8">
                  <c:v>1956006.02</c:v>
                </c:pt>
                <c:pt idx="9">
                  <c:v>1310639.04</c:v>
                </c:pt>
                <c:pt idx="10">
                  <c:v>1644066.99</c:v>
                </c:pt>
                <c:pt idx="11">
                  <c:v>1385981.53</c:v>
                </c:pt>
                <c:pt idx="12">
                  <c:v>1461878.39</c:v>
                </c:pt>
                <c:pt idx="13">
                  <c:v>1714617.58</c:v>
                </c:pt>
                <c:pt idx="14">
                  <c:v>2375095.07</c:v>
                </c:pt>
                <c:pt idx="15">
                  <c:v>1671190.4</c:v>
                </c:pt>
                <c:pt idx="16">
                  <c:v>1670917.02</c:v>
                </c:pt>
                <c:pt idx="17">
                  <c:v>1596084.98</c:v>
                </c:pt>
                <c:pt idx="18">
                  <c:v>1635017.63</c:v>
                </c:pt>
                <c:pt idx="19">
                  <c:v>1719739.63</c:v>
                </c:pt>
                <c:pt idx="20">
                  <c:v>1792446.55</c:v>
                </c:pt>
                <c:pt idx="21">
                  <c:v>2030282.83</c:v>
                </c:pt>
                <c:pt idx="22">
                  <c:v>2369381.27</c:v>
                </c:pt>
                <c:pt idx="23">
                  <c:v>1689027.45</c:v>
                </c:pt>
                <c:pt idx="24">
                  <c:v>1404985.04</c:v>
                </c:pt>
                <c:pt idx="25">
                  <c:v>1839870.71</c:v>
                </c:pt>
                <c:pt idx="26">
                  <c:v>1824865.42</c:v>
                </c:pt>
                <c:pt idx="27">
                  <c:v>1599438.3</c:v>
                </c:pt>
                <c:pt idx="28">
                  <c:v>2077055.59</c:v>
                </c:pt>
                <c:pt idx="29">
                  <c:v>1037596.72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"Среднее за 7 дней"</c:f>
              <c:strCache>
                <c:ptCount val="1"/>
                <c:pt idx="0">
                  <c:v>Среднее за 7 дней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Дни!$A$32:$A$61</c:f>
              <c:strCache>
                <c:ptCount val="30"/>
                <c:pt idx="0">
                  <c:v>19.09.2026</c:v>
                </c:pt>
                <c:pt idx="1">
                  <c:v>20.09.2026</c:v>
                </c:pt>
                <c:pt idx="2">
                  <c:v>21.09.2026</c:v>
                </c:pt>
                <c:pt idx="3">
                  <c:v>22.09.2026</c:v>
                </c:pt>
                <c:pt idx="4">
                  <c:v>23.09.2026</c:v>
                </c:pt>
                <c:pt idx="5">
                  <c:v>24.09.2026</c:v>
                </c:pt>
                <c:pt idx="6">
                  <c:v>25.09.2026</c:v>
                </c:pt>
                <c:pt idx="7">
                  <c:v>26.09.2026</c:v>
                </c:pt>
                <c:pt idx="8">
                  <c:v>27.09.2026</c:v>
                </c:pt>
                <c:pt idx="9">
                  <c:v>28.09.2026</c:v>
                </c:pt>
                <c:pt idx="10">
                  <c:v>29.09.2026</c:v>
                </c:pt>
                <c:pt idx="11">
                  <c:v>30.09.2026</c:v>
                </c:pt>
                <c:pt idx="12">
                  <c:v>01.10.2026</c:v>
                </c:pt>
                <c:pt idx="13">
                  <c:v>02.10.2026</c:v>
                </c:pt>
                <c:pt idx="14">
                  <c:v>03.10.2026</c:v>
                </c:pt>
                <c:pt idx="15">
                  <c:v>04.10.2026</c:v>
                </c:pt>
                <c:pt idx="16">
                  <c:v>05.10.2026</c:v>
                </c:pt>
                <c:pt idx="17">
                  <c:v>06.10.2026</c:v>
                </c:pt>
                <c:pt idx="18">
                  <c:v>07.10.2026</c:v>
                </c:pt>
                <c:pt idx="19">
                  <c:v>08.10.2026</c:v>
                </c:pt>
                <c:pt idx="20">
                  <c:v>09.10.2026</c:v>
                </c:pt>
                <c:pt idx="21">
                  <c:v>10.10.2026</c:v>
                </c:pt>
                <c:pt idx="22">
                  <c:v>11.10.2026</c:v>
                </c:pt>
                <c:pt idx="23">
                  <c:v>12.10.2026</c:v>
                </c:pt>
                <c:pt idx="24">
                  <c:v>13.10.2026</c:v>
                </c:pt>
                <c:pt idx="25">
                  <c:v>14.10.2026</c:v>
                </c:pt>
                <c:pt idx="26">
                  <c:v>15.10.2026</c:v>
                </c:pt>
                <c:pt idx="27">
                  <c:v>16.10.2026</c:v>
                </c:pt>
                <c:pt idx="28">
                  <c:v>17.10.2026</c:v>
                </c:pt>
                <c:pt idx="29">
                  <c:v>18.10.2026</c:v>
                </c:pt>
              </c:strCache>
            </c:strRef>
          </c:cat>
          <c:val>
            <c:numRef>
              <c:f>Дни!$F$32:$F$61</c:f>
              <c:numCache>
                <c:formatCode>#,##0</c:formatCode>
                <c:ptCount val="30"/>
                <c:pt idx="0">
                  <c:v>1697195.03285714</c:v>
                </c:pt>
                <c:pt idx="1">
                  <c:v>1676802.10142857</c:v>
                </c:pt>
                <c:pt idx="2">
                  <c:v>1708745.88857143</c:v>
                </c:pt>
                <c:pt idx="3">
                  <c:v>1701217.66714286</c:v>
                </c:pt>
                <c:pt idx="4">
                  <c:v>1700327.63142857</c:v>
                </c:pt>
                <c:pt idx="5">
                  <c:v>1694289.35857143</c:v>
                </c:pt>
                <c:pt idx="6">
                  <c:v>1750417.83571429</c:v>
                </c:pt>
                <c:pt idx="7">
                  <c:v>1751617.63285714</c:v>
                </c:pt>
                <c:pt idx="8">
                  <c:v>1789427.45</c:v>
                </c:pt>
                <c:pt idx="9">
                  <c:v>1755862.21571429</c:v>
                </c:pt>
                <c:pt idx="10">
                  <c:v>1798623.20142857</c:v>
                </c:pt>
                <c:pt idx="11">
                  <c:v>1745288.15571429</c:v>
                </c:pt>
                <c:pt idx="12">
                  <c:v>1708829.91142857</c:v>
                </c:pt>
                <c:pt idx="13">
                  <c:v>1666709.45142857</c:v>
                </c:pt>
                <c:pt idx="14">
                  <c:v>1692612.08857143</c:v>
                </c:pt>
                <c:pt idx="15">
                  <c:v>1651924.14285714</c:v>
                </c:pt>
                <c:pt idx="16">
                  <c:v>1703392.42571429</c:v>
                </c:pt>
                <c:pt idx="17">
                  <c:v>1696537.85285714</c:v>
                </c:pt>
                <c:pt idx="18">
                  <c:v>1732114.43857143</c:v>
                </c:pt>
                <c:pt idx="19">
                  <c:v>1768951.75857143</c:v>
                </c:pt>
                <c:pt idx="20">
                  <c:v>1780070.18285714</c:v>
                </c:pt>
                <c:pt idx="21">
                  <c:v>1730811.29142857</c:v>
                </c:pt>
                <c:pt idx="22">
                  <c:v>1830552.84428571</c:v>
                </c:pt>
                <c:pt idx="23">
                  <c:v>1833140.04857143</c:v>
                </c:pt>
                <c:pt idx="24">
                  <c:v>1805840.05714286</c:v>
                </c:pt>
                <c:pt idx="25">
                  <c:v>1835104.78285714</c:v>
                </c:pt>
                <c:pt idx="26">
                  <c:v>1850122.75285714</c:v>
                </c:pt>
                <c:pt idx="27">
                  <c:v>1822550.14571429</c:v>
                </c:pt>
                <c:pt idx="28">
                  <c:v>1829231.96857143</c:v>
                </c:pt>
                <c:pt idx="29">
                  <c:v>1638977.03285714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10656"/>
        <c:axId val="18844712"/>
      </c:lineChart>
      <c:catAx>
        <c:axId val="44710656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44712"/>
        <c:crosses val="autoZero"/>
        <c:auto val="1"/>
        <c:lblAlgn val="ctr"/>
        <c:lblOffset val="100"/>
        <c:noMultiLvlLbl val="0"/>
      </c:catAx>
      <c:valAx>
        <c:axId val="18844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10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4680</xdr:colOff>
      <xdr:row>16</xdr:row>
      <xdr:rowOff>12960</xdr:rowOff>
    </xdr:to>
    <xdr:graphicFrame>
      <xdr:nvGraphicFramePr>
        <xdr:cNvPr id="0" name="Chart 1"/>
        <xdr:cNvGraphicFramePr/>
      </xdr:nvGraphicFramePr>
      <xdr:xfrm>
        <a:off x="6673320" y="571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46313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INDEX(Дни!$B:$B,MATCH($B$2,Дни!$A:$A,0))</f>
        <v>1037596.72</v>
      </c>
      <c r="C5" s="6" t="n">
        <f aca="false">INDEX(Дни!$B:$B,MATCH($B$2-7,Дни!$A:$A,0))</f>
        <v>2369381.27</v>
      </c>
      <c r="D5" s="7" t="n">
        <f aca="false">IF(C5=0,"",B5/C5-1)</f>
        <v>-0.562081150409364</v>
      </c>
    </row>
    <row r="6" customFormat="false" ht="15" hidden="false" customHeight="false" outlineLevel="0" collapsed="false">
      <c r="A6" s="5" t="s">
        <v>7</v>
      </c>
      <c r="B6" s="6" t="n">
        <f aca="false">INDEX(Дни!$C:$C,MATCH($B$2,Дни!$A:$A,0))</f>
        <v>162</v>
      </c>
      <c r="C6" s="6" t="n">
        <f aca="false">INDEX(Дни!$C:$C,MATCH($B$2-7,Дни!$A:$A,0))</f>
        <v>390</v>
      </c>
      <c r="D6" s="7" t="n">
        <f aca="false">IF(C6=0,"",B6/C6-1)</f>
        <v>-0.584615384615385</v>
      </c>
    </row>
    <row r="7" customFormat="false" ht="15" hidden="false" customHeight="false" outlineLevel="0" collapsed="false">
      <c r="A7" s="5" t="s">
        <v>8</v>
      </c>
      <c r="B7" s="6" t="n">
        <f aca="false">INDEX(Дни!$E:$E,MATCH($B$2,Дни!$A:$A,0))</f>
        <v>6404.91802469136</v>
      </c>
      <c r="C7" s="6" t="n">
        <f aca="false">INDEX(Дни!$E:$E,MATCH($B$2-7,Дни!$A:$A,0))</f>
        <v>6075.33658974359</v>
      </c>
      <c r="D7" s="7" t="n">
        <f aca="false">IF(C7=0,"",B7/C7-1)</f>
        <v>0.0542490823478272</v>
      </c>
    </row>
    <row r="8" customFormat="false" ht="15" hidden="false" customHeight="false" outlineLevel="0" collapsed="false">
      <c r="A8" s="5" t="s">
        <v>9</v>
      </c>
      <c r="B8" s="6" t="n">
        <f aca="false">INDEX(Дни!$D:$D,MATCH($B$2,Дни!$A:$A,0))</f>
        <v>161</v>
      </c>
      <c r="C8" s="6" t="n">
        <f aca="false">INDEX(Дни!$D:$D,MATCH($B$2-7,Дни!$A:$A,0))</f>
        <v>387</v>
      </c>
      <c r="D8" s="7" t="n">
        <f aca="false">IF(C8=0,"",B8/C8-1)</f>
        <v>-0.583979328165375</v>
      </c>
    </row>
    <row r="10" customFormat="false" ht="26.85" hidden="false" customHeight="false" outlineLevel="0" collapsed="false">
      <c r="A10" s="4" t="s">
        <v>10</v>
      </c>
      <c r="B10" s="4" t="s">
        <v>6</v>
      </c>
      <c r="C10" s="4" t="s">
        <v>11</v>
      </c>
      <c r="D10" s="4" t="s">
        <v>5</v>
      </c>
    </row>
    <row r="11" customFormat="false" ht="15" hidden="false" customHeight="false" outlineLevel="0" collapsed="false">
      <c r="A11" s="5" t="s">
        <v>12</v>
      </c>
      <c r="B11" s="6" t="n">
        <f aca="false">SUMIFS(Дни!$B:$B,Дни!$A:$A,"&gt;"&amp;$B$2-7,Дни!$A:$A,"&lt;="&amp;$B$2)</f>
        <v>11472839.23</v>
      </c>
      <c r="C11" s="6" t="n">
        <f aca="false">SUMIFS(Дни!$B:$B,Дни!$A:$A,"&gt;"&amp;$B$2-14,Дни!$A:$A,"&lt;="&amp;$B$2-7)</f>
        <v>12813869.91</v>
      </c>
      <c r="D11" s="7" t="n">
        <f aca="false">IF(C11=0,"",B11/C11-1)</f>
        <v>-0.104654619519233</v>
      </c>
    </row>
    <row r="12" customFormat="false" ht="15" hidden="false" customHeight="false" outlineLevel="0" collapsed="false">
      <c r="A12" s="5" t="s">
        <v>13</v>
      </c>
      <c r="B12" s="6" t="n">
        <f aca="false">SUMIFS(Дни!$B:$B,Дни!$A:$A,"&gt;="&amp;DATE(YEAR($B$2),MONTH($B$2),1),Дни!$A:$A,"&lt;="&amp;$B$2)</f>
        <v>31509490.58</v>
      </c>
      <c r="C12" s="6" t="n">
        <f aca="false">SUMIFS(Дни!$B:$B,Дни!$A:$A,"&gt;="&amp;EDATE(DATE(YEAR($B$2),MONTH($B$2),1),-1),Дни!$A:$A,"&lt;="&amp;EDATE($B$2,-1))</f>
        <v>29720976.09</v>
      </c>
      <c r="D12" s="7" t="n">
        <f aca="false">IF(C12=0,"",B12/C12-1)</f>
        <v>0.0601768422606337</v>
      </c>
    </row>
    <row r="13" customFormat="false" ht="15" hidden="false" customHeight="false" outlineLevel="0" collapsed="false">
      <c r="A13" s="8" t="s">
        <v>14</v>
      </c>
    </row>
    <row r="15" customFormat="false" ht="15" hidden="false" customHeight="false" outlineLevel="0" collapsed="false">
      <c r="A15" s="9" t="s">
        <v>15</v>
      </c>
    </row>
    <row r="16" customFormat="false" ht="15" hidden="false" customHeight="false" outlineLevel="0" collapsed="false">
      <c r="A16" s="2" t="s">
        <v>16</v>
      </c>
    </row>
    <row r="17" customFormat="false" ht="15" hidden="false" customHeight="false" outlineLevel="0" collapsed="false">
      <c r="A17" s="2" t="s">
        <v>17</v>
      </c>
    </row>
    <row r="18" customFormat="false" ht="15" hidden="false" customHeight="false" outlineLevel="0" collapsed="false">
      <c r="A18" s="2" t="s">
        <v>18</v>
      </c>
    </row>
    <row r="19" customFormat="false" ht="15" hidden="false" customHeight="false" outlineLevel="0" collapsed="false">
      <c r="A19" s="2" t="s">
        <v>19</v>
      </c>
    </row>
    <row r="20" customFormat="false" ht="15" hidden="false" customHeight="false" outlineLevel="0" collapsed="false">
      <c r="A20" s="2" t="s">
        <v>20</v>
      </c>
    </row>
    <row r="22" customFormat="false" ht="15" hidden="false" customHeight="false" outlineLevel="0" collapsed="false">
      <c r="A22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</cols>
  <sheetData>
    <row r="1" customFormat="false" ht="42" hidden="false" customHeight="true" outlineLevel="0" collapsed="false">
      <c r="A1" s="4" t="s">
        <v>22</v>
      </c>
      <c r="B1" s="4" t="s">
        <v>6</v>
      </c>
      <c r="C1" s="4" t="s">
        <v>7</v>
      </c>
      <c r="D1" s="4" t="s">
        <v>9</v>
      </c>
      <c r="E1" s="4" t="s">
        <v>8</v>
      </c>
      <c r="F1" s="4" t="s">
        <v>23</v>
      </c>
      <c r="G1" s="4" t="s">
        <v>24</v>
      </c>
    </row>
    <row r="2" customFormat="false" ht="15" hidden="false" customHeight="false" outlineLevel="0" collapsed="false">
      <c r="A2" s="10" t="n">
        <v>46254</v>
      </c>
      <c r="B2" s="6" t="n">
        <v>1495786.91</v>
      </c>
      <c r="C2" s="6" t="n">
        <v>233</v>
      </c>
      <c r="D2" s="6" t="n">
        <v>231</v>
      </c>
      <c r="E2" s="6" t="n">
        <f aca="false">IF(C2=0,0,B2/C2)</f>
        <v>6419.68630901288</v>
      </c>
      <c r="F2" s="6"/>
      <c r="G2" s="7"/>
    </row>
    <row r="3" customFormat="false" ht="15" hidden="false" customHeight="false" outlineLevel="0" collapsed="false">
      <c r="A3" s="10" t="n">
        <v>46255</v>
      </c>
      <c r="B3" s="6" t="n">
        <v>1727991.97</v>
      </c>
      <c r="C3" s="6" t="n">
        <v>265</v>
      </c>
      <c r="D3" s="6" t="n">
        <v>262</v>
      </c>
      <c r="E3" s="6" t="n">
        <f aca="false">IF(C3=0,0,B3/C3)</f>
        <v>6520.72441509434</v>
      </c>
      <c r="F3" s="6"/>
      <c r="G3" s="7"/>
    </row>
    <row r="4" customFormat="false" ht="15" hidden="false" customHeight="false" outlineLevel="0" collapsed="false">
      <c r="A4" s="10" t="n">
        <v>46256</v>
      </c>
      <c r="B4" s="6" t="n">
        <v>2164524.17</v>
      </c>
      <c r="C4" s="6" t="n">
        <v>314</v>
      </c>
      <c r="D4" s="6" t="n">
        <v>311</v>
      </c>
      <c r="E4" s="6" t="n">
        <f aca="false">IF(C4=0,0,B4/C4)</f>
        <v>6893.38907643312</v>
      </c>
      <c r="F4" s="6"/>
      <c r="G4" s="7"/>
    </row>
    <row r="5" customFormat="false" ht="15" hidden="false" customHeight="false" outlineLevel="0" collapsed="false">
      <c r="A5" s="10" t="n">
        <v>46257</v>
      </c>
      <c r="B5" s="6" t="n">
        <v>1957306.84</v>
      </c>
      <c r="C5" s="6" t="n">
        <v>296</v>
      </c>
      <c r="D5" s="6" t="n">
        <v>294</v>
      </c>
      <c r="E5" s="6" t="n">
        <f aca="false">IF(C5=0,0,B5/C5)</f>
        <v>6612.52310810811</v>
      </c>
      <c r="F5" s="6"/>
      <c r="G5" s="7"/>
    </row>
    <row r="6" customFormat="false" ht="15" hidden="false" customHeight="false" outlineLevel="0" collapsed="false">
      <c r="A6" s="10" t="n">
        <v>46258</v>
      </c>
      <c r="B6" s="6" t="n">
        <v>1536801.03</v>
      </c>
      <c r="C6" s="6" t="n">
        <v>214</v>
      </c>
      <c r="D6" s="6" t="n">
        <v>214</v>
      </c>
      <c r="E6" s="6" t="n">
        <f aca="false">IF(C6=0,0,B6/C6)</f>
        <v>7181.31322429907</v>
      </c>
      <c r="F6" s="6"/>
      <c r="G6" s="7"/>
    </row>
    <row r="7" customFormat="false" ht="15" hidden="false" customHeight="false" outlineLevel="0" collapsed="false">
      <c r="A7" s="10" t="n">
        <v>46259</v>
      </c>
      <c r="B7" s="6" t="n">
        <v>1539536.72</v>
      </c>
      <c r="C7" s="6" t="n">
        <v>256</v>
      </c>
      <c r="D7" s="6" t="n">
        <v>255</v>
      </c>
      <c r="E7" s="6" t="n">
        <f aca="false">IF(C7=0,0,B7/C7)</f>
        <v>6013.8153125</v>
      </c>
      <c r="F7" s="6"/>
      <c r="G7" s="7"/>
    </row>
    <row r="8" customFormat="false" ht="15" hidden="false" customHeight="false" outlineLevel="0" collapsed="false">
      <c r="A8" s="10" t="n">
        <v>46260</v>
      </c>
      <c r="B8" s="6" t="n">
        <v>1537662.68</v>
      </c>
      <c r="C8" s="6" t="n">
        <v>209</v>
      </c>
      <c r="D8" s="6" t="n">
        <v>209</v>
      </c>
      <c r="E8" s="6" t="n">
        <f aca="false">IF(C8=0,0,B8/C8)</f>
        <v>7357.23770334928</v>
      </c>
      <c r="F8" s="6" t="n">
        <f aca="false">AVERAGE(B2:B8)</f>
        <v>1708515.76</v>
      </c>
      <c r="G8" s="7"/>
    </row>
    <row r="9" customFormat="false" ht="15" hidden="false" customHeight="false" outlineLevel="0" collapsed="false">
      <c r="A9" s="10" t="n">
        <v>46261</v>
      </c>
      <c r="B9" s="6" t="n">
        <v>1554967.32</v>
      </c>
      <c r="C9" s="6" t="n">
        <v>211</v>
      </c>
      <c r="D9" s="6" t="n">
        <v>208</v>
      </c>
      <c r="E9" s="6" t="n">
        <f aca="false">IF(C9=0,0,B9/C9)</f>
        <v>7369.51336492891</v>
      </c>
      <c r="F9" s="6" t="n">
        <f aca="false">AVERAGE(B3:B9)</f>
        <v>1716970.10428571</v>
      </c>
      <c r="G9" s="7" t="n">
        <f aca="false">IF(B2=0,"",B9/B2-1)</f>
        <v>0.0395647331878311</v>
      </c>
    </row>
    <row r="10" customFormat="false" ht="15" hidden="false" customHeight="false" outlineLevel="0" collapsed="false">
      <c r="A10" s="10" t="n">
        <v>46262</v>
      </c>
      <c r="B10" s="6" t="n">
        <v>1943639.9</v>
      </c>
      <c r="C10" s="6" t="n">
        <v>262</v>
      </c>
      <c r="D10" s="6" t="n">
        <v>258</v>
      </c>
      <c r="E10" s="6" t="n">
        <f aca="false">IF(C10=0,0,B10/C10)</f>
        <v>7418.47290076336</v>
      </c>
      <c r="F10" s="6" t="n">
        <f aca="false">AVERAGE(B4:B10)</f>
        <v>1747776.95142857</v>
      </c>
      <c r="G10" s="7" t="n">
        <f aca="false">IF(B3=0,"",B10/B3-1)</f>
        <v>0.124796835716777</v>
      </c>
    </row>
    <row r="11" customFormat="false" ht="15" hidden="false" customHeight="false" outlineLevel="0" collapsed="false">
      <c r="A11" s="10" t="n">
        <v>46263</v>
      </c>
      <c r="B11" s="6" t="n">
        <v>2141226.01</v>
      </c>
      <c r="C11" s="6" t="n">
        <v>281</v>
      </c>
      <c r="D11" s="6" t="n">
        <v>279</v>
      </c>
      <c r="E11" s="6" t="n">
        <f aca="false">IF(C11=0,0,B11/C11)</f>
        <v>7620.02138790036</v>
      </c>
      <c r="F11" s="6" t="n">
        <f aca="false">AVERAGE(B5:B11)</f>
        <v>1744448.64285714</v>
      </c>
      <c r="G11" s="7" t="n">
        <f aca="false">IF(B4=0,"",B11/B4-1)</f>
        <v>-0.0107636404910185</v>
      </c>
    </row>
    <row r="12" customFormat="false" ht="15" hidden="false" customHeight="false" outlineLevel="0" collapsed="false">
      <c r="A12" s="10" t="n">
        <v>46264</v>
      </c>
      <c r="B12" s="6" t="n">
        <v>1922214.09</v>
      </c>
      <c r="C12" s="6" t="n">
        <v>296</v>
      </c>
      <c r="D12" s="6" t="n">
        <v>295</v>
      </c>
      <c r="E12" s="6" t="n">
        <f aca="false">IF(C12=0,0,B12/C12)</f>
        <v>6493.96652027027</v>
      </c>
      <c r="F12" s="6" t="n">
        <f aca="false">AVERAGE(B6:B12)</f>
        <v>1739435.39285714</v>
      </c>
      <c r="G12" s="7" t="n">
        <f aca="false">IF(B5=0,"",B12/B5-1)</f>
        <v>-0.0179290999667686</v>
      </c>
    </row>
    <row r="13" customFormat="false" ht="15" hidden="false" customHeight="false" outlineLevel="0" collapsed="false">
      <c r="A13" s="10" t="n">
        <v>46265</v>
      </c>
      <c r="B13" s="6" t="n">
        <v>1493968.03</v>
      </c>
      <c r="C13" s="6" t="n">
        <v>217</v>
      </c>
      <c r="D13" s="6" t="n">
        <v>215</v>
      </c>
      <c r="E13" s="6" t="n">
        <f aca="false">IF(C13=0,0,B13/C13)</f>
        <v>6884.64529953917</v>
      </c>
      <c r="F13" s="6" t="n">
        <f aca="false">AVERAGE(B7:B13)</f>
        <v>1733316.39285714</v>
      </c>
      <c r="G13" s="7" t="n">
        <f aca="false">IF(B6=0,"",B13/B6-1)</f>
        <v>-0.0278715325952118</v>
      </c>
    </row>
    <row r="14" customFormat="false" ht="15" hidden="false" customHeight="false" outlineLevel="0" collapsed="false">
      <c r="A14" s="10" t="n">
        <v>46266</v>
      </c>
      <c r="B14" s="6" t="n">
        <v>1720292.88</v>
      </c>
      <c r="C14" s="6" t="n">
        <v>230</v>
      </c>
      <c r="D14" s="6" t="n">
        <v>229</v>
      </c>
      <c r="E14" s="6" t="n">
        <f aca="false">IF(C14=0,0,B14/C14)</f>
        <v>7479.53426086957</v>
      </c>
      <c r="F14" s="6" t="n">
        <f aca="false">AVERAGE(B8:B14)</f>
        <v>1759138.70142857</v>
      </c>
      <c r="G14" s="7" t="n">
        <f aca="false">IF(B7=0,"",B14/B7-1)</f>
        <v>0.117409450292293</v>
      </c>
    </row>
    <row r="15" customFormat="false" ht="15" hidden="false" customHeight="false" outlineLevel="0" collapsed="false">
      <c r="A15" s="10" t="n">
        <v>46267</v>
      </c>
      <c r="B15" s="6" t="n">
        <v>1412350.75</v>
      </c>
      <c r="C15" s="6" t="n">
        <v>219</v>
      </c>
      <c r="D15" s="6" t="n">
        <v>219</v>
      </c>
      <c r="E15" s="6" t="n">
        <f aca="false">IF(C15=0,0,B15/C15)</f>
        <v>6449.0901826484</v>
      </c>
      <c r="F15" s="6" t="n">
        <f aca="false">AVERAGE(B9:B15)</f>
        <v>1741236.99714286</v>
      </c>
      <c r="G15" s="7" t="n">
        <f aca="false">IF(B8=0,"",B15/B8-1)</f>
        <v>-0.0814950714678202</v>
      </c>
    </row>
    <row r="16" customFormat="false" ht="15" hidden="false" customHeight="false" outlineLevel="0" collapsed="false">
      <c r="A16" s="10" t="n">
        <v>46268</v>
      </c>
      <c r="B16" s="6" t="n">
        <v>1680196.99</v>
      </c>
      <c r="C16" s="6" t="n">
        <v>251</v>
      </c>
      <c r="D16" s="6" t="n">
        <v>248</v>
      </c>
      <c r="E16" s="6" t="n">
        <f aca="false">IF(C16=0,0,B16/C16)</f>
        <v>6694.0119123506</v>
      </c>
      <c r="F16" s="6" t="n">
        <f aca="false">AVERAGE(B10:B16)</f>
        <v>1759126.95</v>
      </c>
      <c r="G16" s="7" t="n">
        <f aca="false">IF(B9=0,"",B16/B9-1)</f>
        <v>0.0805352423740968</v>
      </c>
    </row>
    <row r="17" customFormat="false" ht="15" hidden="false" customHeight="false" outlineLevel="0" collapsed="false">
      <c r="A17" s="10" t="n">
        <v>46269</v>
      </c>
      <c r="B17" s="6" t="n">
        <v>1516772.88</v>
      </c>
      <c r="C17" s="6" t="n">
        <v>246</v>
      </c>
      <c r="D17" s="6" t="n">
        <v>241</v>
      </c>
      <c r="E17" s="6" t="n">
        <f aca="false">IF(C17=0,0,B17/C17)</f>
        <v>6165.74341463415</v>
      </c>
      <c r="F17" s="6" t="n">
        <f aca="false">AVERAGE(B11:B17)</f>
        <v>1698145.94714286</v>
      </c>
      <c r="G17" s="7" t="n">
        <f aca="false">IF(B10=0,"",B17/B10-1)</f>
        <v>-0.219622482539075</v>
      </c>
    </row>
    <row r="18" customFormat="false" ht="15" hidden="false" customHeight="false" outlineLevel="0" collapsed="false">
      <c r="A18" s="10" t="n">
        <v>46270</v>
      </c>
      <c r="B18" s="6" t="n">
        <v>1909946.11</v>
      </c>
      <c r="C18" s="6" t="n">
        <v>282</v>
      </c>
      <c r="D18" s="6" t="n">
        <v>282</v>
      </c>
      <c r="E18" s="6" t="n">
        <f aca="false">IF(C18=0,0,B18/C18)</f>
        <v>6772.85854609929</v>
      </c>
      <c r="F18" s="6" t="n">
        <f aca="false">AVERAGE(B12:B18)</f>
        <v>1665105.96142857</v>
      </c>
      <c r="G18" s="7" t="n">
        <f aca="false">IF(B11=0,"",B18/B11-1)</f>
        <v>-0.108012838868887</v>
      </c>
    </row>
    <row r="19" customFormat="false" ht="15" hidden="false" customHeight="false" outlineLevel="0" collapsed="false">
      <c r="A19" s="10" t="n">
        <v>46271</v>
      </c>
      <c r="B19" s="6" t="n">
        <v>1714110.03</v>
      </c>
      <c r="C19" s="6" t="n">
        <v>263</v>
      </c>
      <c r="D19" s="6" t="n">
        <v>262</v>
      </c>
      <c r="E19" s="6" t="n">
        <f aca="false">IF(C19=0,0,B19/C19)</f>
        <v>6517.52863117871</v>
      </c>
      <c r="F19" s="6" t="n">
        <f aca="false">AVERAGE(B13:B19)</f>
        <v>1635376.81</v>
      </c>
      <c r="G19" s="7" t="n">
        <f aca="false">IF(B12=0,"",B19/B12-1)</f>
        <v>-0.108262685765663</v>
      </c>
    </row>
    <row r="20" customFormat="false" ht="15" hidden="false" customHeight="false" outlineLevel="0" collapsed="false">
      <c r="A20" s="10" t="n">
        <v>46272</v>
      </c>
      <c r="B20" s="6" t="n">
        <v>1613295.14</v>
      </c>
      <c r="C20" s="6" t="n">
        <v>220</v>
      </c>
      <c r="D20" s="6" t="n">
        <v>220</v>
      </c>
      <c r="E20" s="6" t="n">
        <f aca="false">IF(C20=0,0,B20/C20)</f>
        <v>7333.15972727273</v>
      </c>
      <c r="F20" s="6" t="n">
        <f aca="false">AVERAGE(B14:B20)</f>
        <v>1652423.54</v>
      </c>
      <c r="G20" s="7" t="n">
        <f aca="false">IF(B13=0,"",B20/B13-1)</f>
        <v>0.0798725994156648</v>
      </c>
    </row>
    <row r="21" customFormat="false" ht="15" hidden="false" customHeight="false" outlineLevel="0" collapsed="false">
      <c r="A21" s="10" t="n">
        <v>46273</v>
      </c>
      <c r="B21" s="6" t="n">
        <v>1410649.95</v>
      </c>
      <c r="C21" s="6" t="n">
        <v>218</v>
      </c>
      <c r="D21" s="6" t="n">
        <v>216</v>
      </c>
      <c r="E21" s="6" t="n">
        <f aca="false">IF(C21=0,0,B21/C21)</f>
        <v>6470.87133027523</v>
      </c>
      <c r="F21" s="6" t="n">
        <f aca="false">AVERAGE(B15:B21)</f>
        <v>1608188.83571429</v>
      </c>
      <c r="G21" s="7" t="n">
        <f aca="false">IF(B14=0,"",B21/B14-1)</f>
        <v>-0.179994310038649</v>
      </c>
    </row>
    <row r="22" customFormat="false" ht="15" hidden="false" customHeight="false" outlineLevel="0" collapsed="false">
      <c r="A22" s="10" t="n">
        <v>46274</v>
      </c>
      <c r="B22" s="6" t="n">
        <v>1530365.89</v>
      </c>
      <c r="C22" s="6" t="n">
        <v>245</v>
      </c>
      <c r="D22" s="6" t="n">
        <v>244</v>
      </c>
      <c r="E22" s="6" t="n">
        <f aca="false">IF(C22=0,0,B22/C22)</f>
        <v>6246.3913877551</v>
      </c>
      <c r="F22" s="6" t="n">
        <f aca="false">AVERAGE(B16:B22)</f>
        <v>1625048.14142857</v>
      </c>
      <c r="G22" s="7" t="n">
        <f aca="false">IF(B15=0,"",B22/B15-1)</f>
        <v>0.0835593707866122</v>
      </c>
    </row>
    <row r="23" customFormat="false" ht="15" hidden="false" customHeight="false" outlineLevel="0" collapsed="false">
      <c r="A23" s="10" t="n">
        <v>46275</v>
      </c>
      <c r="B23" s="6" t="n">
        <v>1633325.65</v>
      </c>
      <c r="C23" s="6" t="n">
        <v>232</v>
      </c>
      <c r="D23" s="6" t="n">
        <v>231</v>
      </c>
      <c r="E23" s="6" t="n">
        <f aca="false">IF(C23=0,0,B23/C23)</f>
        <v>7040.19676724138</v>
      </c>
      <c r="F23" s="6" t="n">
        <f aca="false">AVERAGE(B17:B23)</f>
        <v>1618352.23571429</v>
      </c>
      <c r="G23" s="7" t="n">
        <f aca="false">IF(B16=0,"",B23/B16-1)</f>
        <v>-0.0278963361313962</v>
      </c>
    </row>
    <row r="24" customFormat="false" ht="15" hidden="false" customHeight="false" outlineLevel="0" collapsed="false">
      <c r="A24" s="10" t="n">
        <v>46276</v>
      </c>
      <c r="B24" s="6" t="n">
        <v>1628519.09</v>
      </c>
      <c r="C24" s="6" t="n">
        <v>264</v>
      </c>
      <c r="D24" s="6" t="n">
        <v>261</v>
      </c>
      <c r="E24" s="6" t="n">
        <f aca="false">IF(C24=0,0,B24/C24)</f>
        <v>6168.63291666667</v>
      </c>
      <c r="F24" s="6" t="n">
        <f aca="false">AVERAGE(B18:B24)</f>
        <v>1634315.98</v>
      </c>
      <c r="G24" s="7" t="n">
        <f aca="false">IF(B17=0,"",B24/B17-1)</f>
        <v>0.0736736603571131</v>
      </c>
    </row>
    <row r="25" customFormat="false" ht="15" hidden="false" customHeight="false" outlineLevel="0" collapsed="false">
      <c r="A25" s="10" t="n">
        <v>46277</v>
      </c>
      <c r="B25" s="6" t="n">
        <v>2256163.53</v>
      </c>
      <c r="C25" s="6" t="n">
        <v>310</v>
      </c>
      <c r="D25" s="6" t="n">
        <v>308</v>
      </c>
      <c r="E25" s="6" t="n">
        <f aca="false">IF(C25=0,0,B25/C25)</f>
        <v>7277.94687096774</v>
      </c>
      <c r="F25" s="6" t="n">
        <f aca="false">AVERAGE(B19:B25)</f>
        <v>1683775.61142857</v>
      </c>
      <c r="G25" s="7" t="n">
        <f aca="false">IF(B18=0,"",B25/B18-1)</f>
        <v>0.181270779414818</v>
      </c>
    </row>
    <row r="26" customFormat="false" ht="15" hidden="false" customHeight="false" outlineLevel="0" collapsed="false">
      <c r="A26" s="10" t="n">
        <v>46278</v>
      </c>
      <c r="B26" s="6" t="n">
        <v>1834087.82</v>
      </c>
      <c r="C26" s="6" t="n">
        <v>268</v>
      </c>
      <c r="D26" s="6" t="n">
        <v>267</v>
      </c>
      <c r="E26" s="6" t="n">
        <f aca="false">IF(C26=0,0,B26/C26)</f>
        <v>6843.61126865672</v>
      </c>
      <c r="F26" s="6" t="n">
        <f aca="false">AVERAGE(B20:B26)</f>
        <v>1700915.29571429</v>
      </c>
      <c r="G26" s="7" t="n">
        <f aca="false">IF(B19=0,"",B26/B19-1)</f>
        <v>0.0699942173490462</v>
      </c>
    </row>
    <row r="27" customFormat="false" ht="15" hidden="false" customHeight="false" outlineLevel="0" collapsed="false">
      <c r="A27" s="10" t="n">
        <v>46279</v>
      </c>
      <c r="B27" s="6" t="n">
        <v>1321989.17</v>
      </c>
      <c r="C27" s="6" t="n">
        <v>210</v>
      </c>
      <c r="D27" s="6" t="n">
        <v>210</v>
      </c>
      <c r="E27" s="6" t="n">
        <f aca="false">IF(C27=0,0,B27/C27)</f>
        <v>6295.18652380952</v>
      </c>
      <c r="F27" s="6" t="n">
        <f aca="false">AVERAGE(B21:B27)</f>
        <v>1659300.15714286</v>
      </c>
      <c r="G27" s="7" t="n">
        <f aca="false">IF(B20=0,"",B27/B20-1)</f>
        <v>-0.180565826287681</v>
      </c>
    </row>
    <row r="28" customFormat="false" ht="15" hidden="false" customHeight="false" outlineLevel="0" collapsed="false">
      <c r="A28" s="10" t="n">
        <v>46280</v>
      </c>
      <c r="B28" s="6" t="n">
        <v>1397437.64</v>
      </c>
      <c r="C28" s="6" t="n">
        <v>228</v>
      </c>
      <c r="D28" s="6" t="n">
        <v>228</v>
      </c>
      <c r="E28" s="6" t="n">
        <f aca="false">IF(C28=0,0,B28/C28)</f>
        <v>6129.11245614035</v>
      </c>
      <c r="F28" s="6" t="n">
        <f aca="false">AVERAGE(B22:B28)</f>
        <v>1657412.68428571</v>
      </c>
      <c r="G28" s="7" t="n">
        <f aca="false">IF(B21=0,"",B28/B21-1)</f>
        <v>-0.00936611524354436</v>
      </c>
    </row>
    <row r="29" customFormat="false" ht="15" hidden="false" customHeight="false" outlineLevel="0" collapsed="false">
      <c r="A29" s="10" t="n">
        <v>46281</v>
      </c>
      <c r="B29" s="6" t="n">
        <v>1765557.1</v>
      </c>
      <c r="C29" s="6" t="n">
        <v>236</v>
      </c>
      <c r="D29" s="6" t="n">
        <v>235</v>
      </c>
      <c r="E29" s="6" t="n">
        <f aca="false">IF(C29=0,0,B29/C29)</f>
        <v>7481.17415254237</v>
      </c>
      <c r="F29" s="6" t="n">
        <f aca="false">AVERAGE(B23:B29)</f>
        <v>1691011.42857143</v>
      </c>
      <c r="G29" s="7" t="n">
        <f aca="false">IF(B22=0,"",B29/B22-1)</f>
        <v>0.15368299276456</v>
      </c>
    </row>
    <row r="30" customFormat="false" ht="15" hidden="false" customHeight="false" outlineLevel="0" collapsed="false">
      <c r="A30" s="10" t="n">
        <v>46282</v>
      </c>
      <c r="B30" s="6" t="n">
        <v>1759354.01</v>
      </c>
      <c r="C30" s="6" t="n">
        <v>255</v>
      </c>
      <c r="D30" s="6" t="n">
        <v>251</v>
      </c>
      <c r="E30" s="6" t="n">
        <f aca="false">IF(C30=0,0,B30/C30)</f>
        <v>6899.42749019608</v>
      </c>
      <c r="F30" s="6" t="n">
        <f aca="false">AVERAGE(B24:B30)</f>
        <v>1709015.48</v>
      </c>
      <c r="G30" s="7" t="n">
        <f aca="false">IF(B23=0,"",B30/B23-1)</f>
        <v>0.0771605833778464</v>
      </c>
    </row>
    <row r="31" customFormat="false" ht="15" hidden="false" customHeight="false" outlineLevel="0" collapsed="false">
      <c r="A31" s="10" t="n">
        <v>46283</v>
      </c>
      <c r="B31" s="6" t="n">
        <v>1616561.46</v>
      </c>
      <c r="C31" s="6" t="n">
        <v>263</v>
      </c>
      <c r="D31" s="6" t="n">
        <v>260</v>
      </c>
      <c r="E31" s="6" t="n">
        <f aca="false">IF(C31=0,0,B31/C31)</f>
        <v>6146.62152091255</v>
      </c>
      <c r="F31" s="6" t="n">
        <f aca="false">AVERAGE(B25:B31)</f>
        <v>1707307.24714286</v>
      </c>
      <c r="G31" s="7" t="n">
        <f aca="false">IF(B24=0,"",B31/B24-1)</f>
        <v>-0.00734264036167986</v>
      </c>
    </row>
    <row r="32" customFormat="false" ht="15" hidden="false" customHeight="false" outlineLevel="0" collapsed="false">
      <c r="A32" s="10" t="n">
        <v>46284</v>
      </c>
      <c r="B32" s="6" t="n">
        <v>2185378.03</v>
      </c>
      <c r="C32" s="6" t="n">
        <v>320</v>
      </c>
      <c r="D32" s="6" t="n">
        <v>317</v>
      </c>
      <c r="E32" s="6" t="n">
        <f aca="false">IF(C32=0,0,B32/C32)</f>
        <v>6829.30634375</v>
      </c>
      <c r="F32" s="6" t="n">
        <f aca="false">AVERAGE(B26:B32)</f>
        <v>1697195.03285714</v>
      </c>
      <c r="G32" s="7" t="n">
        <f aca="false">IF(B25=0,"",B32/B25-1)</f>
        <v>-0.0313742772005539</v>
      </c>
    </row>
    <row r="33" customFormat="false" ht="15" hidden="false" customHeight="false" outlineLevel="0" collapsed="false">
      <c r="A33" s="10" t="n">
        <v>46285</v>
      </c>
      <c r="B33" s="6" t="n">
        <v>1691337.3</v>
      </c>
      <c r="C33" s="6" t="n">
        <v>279</v>
      </c>
      <c r="D33" s="6" t="n">
        <v>276</v>
      </c>
      <c r="E33" s="6" t="n">
        <f aca="false">IF(C33=0,0,B33/C33)</f>
        <v>6062.14086021505</v>
      </c>
      <c r="F33" s="6" t="n">
        <f aca="false">AVERAGE(B27:B33)</f>
        <v>1676802.10142857</v>
      </c>
      <c r="G33" s="7" t="n">
        <f aca="false">IF(B26=0,"",B33/B26-1)</f>
        <v>-0.0778318892058287</v>
      </c>
    </row>
    <row r="34" customFormat="false" ht="15" hidden="false" customHeight="false" outlineLevel="0" collapsed="false">
      <c r="A34" s="10" t="n">
        <v>46286</v>
      </c>
      <c r="B34" s="6" t="n">
        <v>1545595.68</v>
      </c>
      <c r="C34" s="6" t="n">
        <v>221</v>
      </c>
      <c r="D34" s="6" t="n">
        <v>220</v>
      </c>
      <c r="E34" s="6" t="n">
        <f aca="false">IF(C34=0,0,B34/C34)</f>
        <v>6993.64561085973</v>
      </c>
      <c r="F34" s="6" t="n">
        <f aca="false">AVERAGE(B28:B34)</f>
        <v>1708745.88857143</v>
      </c>
      <c r="G34" s="7" t="n">
        <f aca="false">IF(B27=0,"",B34/B27-1)</f>
        <v>0.169143980203711</v>
      </c>
    </row>
    <row r="35" customFormat="false" ht="15" hidden="false" customHeight="false" outlineLevel="0" collapsed="false">
      <c r="A35" s="10" t="n">
        <v>46287</v>
      </c>
      <c r="B35" s="6" t="n">
        <v>1344740.09</v>
      </c>
      <c r="C35" s="6" t="n">
        <v>213</v>
      </c>
      <c r="D35" s="6" t="n">
        <v>213</v>
      </c>
      <c r="E35" s="6" t="n">
        <f aca="false">IF(C35=0,0,B35/C35)</f>
        <v>6313.33375586855</v>
      </c>
      <c r="F35" s="6" t="n">
        <f aca="false">AVERAGE(B29:B35)</f>
        <v>1701217.66714286</v>
      </c>
      <c r="G35" s="7" t="n">
        <f aca="false">IF(B28=0,"",B35/B28-1)</f>
        <v>-0.0377101263710056</v>
      </c>
    </row>
    <row r="36" customFormat="false" ht="15" hidden="false" customHeight="false" outlineLevel="0" collapsed="false">
      <c r="A36" s="10" t="n">
        <v>46288</v>
      </c>
      <c r="B36" s="6" t="n">
        <v>1759326.85</v>
      </c>
      <c r="C36" s="6" t="n">
        <v>246</v>
      </c>
      <c r="D36" s="6" t="n">
        <v>243</v>
      </c>
      <c r="E36" s="6" t="n">
        <f aca="false">IF(C36=0,0,B36/C36)</f>
        <v>7151.73516260163</v>
      </c>
      <c r="F36" s="6" t="n">
        <f aca="false">AVERAGE(B30:B36)</f>
        <v>1700327.63142857</v>
      </c>
      <c r="G36" s="7" t="n">
        <f aca="false">IF(B29=0,"",B36/B29-1)</f>
        <v>-0.00352877287287956</v>
      </c>
    </row>
    <row r="37" customFormat="false" ht="15" hidden="false" customHeight="false" outlineLevel="0" collapsed="false">
      <c r="A37" s="10" t="n">
        <v>46289</v>
      </c>
      <c r="B37" s="6" t="n">
        <v>1717086.1</v>
      </c>
      <c r="C37" s="6" t="n">
        <v>252</v>
      </c>
      <c r="D37" s="6" t="n">
        <v>252</v>
      </c>
      <c r="E37" s="6" t="n">
        <f aca="false">IF(C37=0,0,B37/C37)</f>
        <v>6813.83373015873</v>
      </c>
      <c r="F37" s="6" t="n">
        <f aca="false">AVERAGE(B31:B37)</f>
        <v>1694289.35857143</v>
      </c>
      <c r="G37" s="7" t="n">
        <f aca="false">IF(B30=0,"",B37/B30-1)</f>
        <v>-0.0240246759661519</v>
      </c>
    </row>
    <row r="38" customFormat="false" ht="15" hidden="false" customHeight="false" outlineLevel="0" collapsed="false">
      <c r="A38" s="10" t="n">
        <v>46290</v>
      </c>
      <c r="B38" s="6" t="n">
        <v>2009460.8</v>
      </c>
      <c r="C38" s="6" t="n">
        <v>281</v>
      </c>
      <c r="D38" s="6" t="n">
        <v>276</v>
      </c>
      <c r="E38" s="6" t="n">
        <f aca="false">IF(C38=0,0,B38/C38)</f>
        <v>7151.10604982206</v>
      </c>
      <c r="F38" s="6" t="n">
        <f aca="false">AVERAGE(B32:B38)</f>
        <v>1750417.83571429</v>
      </c>
      <c r="G38" s="7" t="n">
        <f aca="false">IF(B31=0,"",B38/B31-1)</f>
        <v>0.243046336141157</v>
      </c>
    </row>
    <row r="39" customFormat="false" ht="15" hidden="false" customHeight="false" outlineLevel="0" collapsed="false">
      <c r="A39" s="10" t="n">
        <v>46291</v>
      </c>
      <c r="B39" s="6" t="n">
        <v>2193776.61</v>
      </c>
      <c r="C39" s="6" t="n">
        <v>314</v>
      </c>
      <c r="D39" s="6" t="n">
        <v>313</v>
      </c>
      <c r="E39" s="6" t="n">
        <f aca="false">IF(C39=0,0,B39/C39)</f>
        <v>6986.5497133758</v>
      </c>
      <c r="F39" s="6" t="n">
        <f aca="false">AVERAGE(B33:B39)</f>
        <v>1751617.63285714</v>
      </c>
      <c r="G39" s="7" t="n">
        <f aca="false">IF(B32=0,"",B39/B32-1)</f>
        <v>0.0038430788104884</v>
      </c>
    </row>
    <row r="40" customFormat="false" ht="15" hidden="false" customHeight="false" outlineLevel="0" collapsed="false">
      <c r="A40" s="10" t="n">
        <v>46292</v>
      </c>
      <c r="B40" s="6" t="n">
        <v>1956006.02</v>
      </c>
      <c r="C40" s="6" t="n">
        <v>289</v>
      </c>
      <c r="D40" s="6" t="n">
        <v>288</v>
      </c>
      <c r="E40" s="6" t="n">
        <f aca="false">IF(C40=0,0,B40/C40)</f>
        <v>6768.18692041523</v>
      </c>
      <c r="F40" s="6" t="n">
        <f aca="false">AVERAGE(B34:B40)</f>
        <v>1789427.45</v>
      </c>
      <c r="G40" s="7" t="n">
        <f aca="false">IF(B33=0,"",B40/B33-1)</f>
        <v>0.156484883293238</v>
      </c>
    </row>
    <row r="41" customFormat="false" ht="15" hidden="false" customHeight="false" outlineLevel="0" collapsed="false">
      <c r="A41" s="10" t="n">
        <v>46293</v>
      </c>
      <c r="B41" s="6" t="n">
        <v>1310639.04</v>
      </c>
      <c r="C41" s="6" t="n">
        <v>199</v>
      </c>
      <c r="D41" s="6" t="n">
        <v>199</v>
      </c>
      <c r="E41" s="6" t="n">
        <f aca="false">IF(C41=0,0,B41/C41)</f>
        <v>6586.12582914573</v>
      </c>
      <c r="F41" s="6" t="n">
        <f aca="false">AVERAGE(B35:B41)</f>
        <v>1755862.21571429</v>
      </c>
      <c r="G41" s="7" t="n">
        <f aca="false">IF(B34=0,"",B41/B34-1)</f>
        <v>-0.152016884519242</v>
      </c>
    </row>
    <row r="42" customFormat="false" ht="15" hidden="false" customHeight="false" outlineLevel="0" collapsed="false">
      <c r="A42" s="10" t="n">
        <v>46294</v>
      </c>
      <c r="B42" s="6" t="n">
        <v>1644066.99</v>
      </c>
      <c r="C42" s="6" t="n">
        <v>231</v>
      </c>
      <c r="D42" s="6" t="n">
        <v>230</v>
      </c>
      <c r="E42" s="6" t="n">
        <f aca="false">IF(C42=0,0,B42/C42)</f>
        <v>7117.17311688312</v>
      </c>
      <c r="F42" s="6" t="n">
        <f aca="false">AVERAGE(B36:B42)</f>
        <v>1798623.20142857</v>
      </c>
      <c r="G42" s="7" t="n">
        <f aca="false">IF(B35=0,"",B42/B35-1)</f>
        <v>0.222590894869506</v>
      </c>
    </row>
    <row r="43" customFormat="false" ht="15" hidden="false" customHeight="false" outlineLevel="0" collapsed="false">
      <c r="A43" s="10" t="n">
        <v>46295</v>
      </c>
      <c r="B43" s="6" t="n">
        <v>1385981.53</v>
      </c>
      <c r="C43" s="6" t="n">
        <v>202</v>
      </c>
      <c r="D43" s="6" t="n">
        <v>201</v>
      </c>
      <c r="E43" s="6" t="n">
        <f aca="false">IF(C43=0,0,B43/C43)</f>
        <v>6861.2947029703</v>
      </c>
      <c r="F43" s="6" t="n">
        <f aca="false">AVERAGE(B37:B43)</f>
        <v>1745288.15571429</v>
      </c>
      <c r="G43" s="7" t="n">
        <f aca="false">IF(B36=0,"",B43/B36-1)</f>
        <v>-0.21220918671252</v>
      </c>
    </row>
    <row r="44" customFormat="false" ht="15" hidden="false" customHeight="false" outlineLevel="0" collapsed="false">
      <c r="A44" s="10" t="n">
        <v>46296</v>
      </c>
      <c r="B44" s="6" t="n">
        <v>1461878.39</v>
      </c>
      <c r="C44" s="6" t="n">
        <v>257</v>
      </c>
      <c r="D44" s="6" t="n">
        <v>255</v>
      </c>
      <c r="E44" s="6" t="n">
        <f aca="false">IF(C44=0,0,B44/C44)</f>
        <v>5688.24276264591</v>
      </c>
      <c r="F44" s="6" t="n">
        <f aca="false">AVERAGE(B38:B44)</f>
        <v>1708829.91142857</v>
      </c>
      <c r="G44" s="7" t="n">
        <f aca="false">IF(B37=0,"",B44/B37-1)</f>
        <v>-0.148628371052564</v>
      </c>
    </row>
    <row r="45" customFormat="false" ht="15" hidden="false" customHeight="false" outlineLevel="0" collapsed="false">
      <c r="A45" s="10" t="n">
        <v>46297</v>
      </c>
      <c r="B45" s="6" t="n">
        <v>1714617.58</v>
      </c>
      <c r="C45" s="6" t="n">
        <v>279</v>
      </c>
      <c r="D45" s="6" t="n">
        <v>277</v>
      </c>
      <c r="E45" s="6" t="n">
        <f aca="false">IF(C45=0,0,B45/C45)</f>
        <v>6145.58272401434</v>
      </c>
      <c r="F45" s="6" t="n">
        <f aca="false">AVERAGE(B39:B45)</f>
        <v>1666709.45142857</v>
      </c>
      <c r="G45" s="7" t="n">
        <f aca="false">IF(B38=0,"",B45/B38-1)</f>
        <v>-0.146727530091654</v>
      </c>
    </row>
    <row r="46" customFormat="false" ht="15" hidden="false" customHeight="false" outlineLevel="0" collapsed="false">
      <c r="A46" s="10" t="n">
        <v>46298</v>
      </c>
      <c r="B46" s="6" t="n">
        <v>2375095.07</v>
      </c>
      <c r="C46" s="6" t="n">
        <v>312</v>
      </c>
      <c r="D46" s="6" t="n">
        <v>309</v>
      </c>
      <c r="E46" s="6" t="n">
        <f aca="false">IF(C46=0,0,B46/C46)</f>
        <v>7612.48419871795</v>
      </c>
      <c r="F46" s="6" t="n">
        <f aca="false">AVERAGE(B40:B46)</f>
        <v>1692612.08857143</v>
      </c>
      <c r="G46" s="7" t="n">
        <f aca="false">IF(B39=0,"",B46/B39-1)</f>
        <v>0.0826512869056435</v>
      </c>
    </row>
    <row r="47" customFormat="false" ht="15" hidden="false" customHeight="false" outlineLevel="0" collapsed="false">
      <c r="A47" s="10" t="n">
        <v>46299</v>
      </c>
      <c r="B47" s="6" t="n">
        <v>1671190.4</v>
      </c>
      <c r="C47" s="6" t="n">
        <v>250</v>
      </c>
      <c r="D47" s="6" t="n">
        <v>250</v>
      </c>
      <c r="E47" s="6" t="n">
        <f aca="false">IF(C47=0,0,B47/C47)</f>
        <v>6684.7616</v>
      </c>
      <c r="F47" s="6" t="n">
        <f aca="false">AVERAGE(B41:B47)</f>
        <v>1651924.14285714</v>
      </c>
      <c r="G47" s="7" t="n">
        <f aca="false">IF(B40=0,"",B47/B40-1)</f>
        <v>-0.145610809520924</v>
      </c>
    </row>
    <row r="48" customFormat="false" ht="15" hidden="false" customHeight="false" outlineLevel="0" collapsed="false">
      <c r="A48" s="10" t="n">
        <v>46300</v>
      </c>
      <c r="B48" s="6" t="n">
        <v>1670917.02</v>
      </c>
      <c r="C48" s="6" t="n">
        <v>231</v>
      </c>
      <c r="D48" s="6" t="n">
        <v>230</v>
      </c>
      <c r="E48" s="6" t="n">
        <f aca="false">IF(C48=0,0,B48/C48)</f>
        <v>7233.40701298701</v>
      </c>
      <c r="F48" s="6" t="n">
        <f aca="false">AVERAGE(B42:B48)</f>
        <v>1703392.42571429</v>
      </c>
      <c r="G48" s="7" t="n">
        <f aca="false">IF(B41=0,"",B48/B41-1)</f>
        <v>0.274887264154744</v>
      </c>
    </row>
    <row r="49" customFormat="false" ht="15" hidden="false" customHeight="false" outlineLevel="0" collapsed="false">
      <c r="A49" s="10" t="n">
        <v>46301</v>
      </c>
      <c r="B49" s="6" t="n">
        <v>1596084.98</v>
      </c>
      <c r="C49" s="6" t="n">
        <v>239</v>
      </c>
      <c r="D49" s="6" t="n">
        <v>238</v>
      </c>
      <c r="E49" s="6" t="n">
        <f aca="false">IF(C49=0,0,B49/C49)</f>
        <v>6678.17983263598</v>
      </c>
      <c r="F49" s="6" t="n">
        <f aca="false">AVERAGE(B43:B49)</f>
        <v>1696537.85285714</v>
      </c>
      <c r="G49" s="7" t="n">
        <f aca="false">IF(B42=0,"",B49/B42-1)</f>
        <v>-0.029184948236203</v>
      </c>
    </row>
    <row r="50" customFormat="false" ht="15" hidden="false" customHeight="false" outlineLevel="0" collapsed="false">
      <c r="A50" s="10" t="n">
        <v>46302</v>
      </c>
      <c r="B50" s="6" t="n">
        <v>1635017.63</v>
      </c>
      <c r="C50" s="6" t="n">
        <v>227</v>
      </c>
      <c r="D50" s="6" t="n">
        <v>224</v>
      </c>
      <c r="E50" s="6" t="n">
        <f aca="false">IF(C50=0,0,B50/C50)</f>
        <v>7202.7208370044</v>
      </c>
      <c r="F50" s="6" t="n">
        <f aca="false">AVERAGE(B44:B50)</f>
        <v>1732114.43857143</v>
      </c>
      <c r="G50" s="7" t="n">
        <f aca="false">IF(B43=0,"",B50/B43-1)</f>
        <v>0.179682120294922</v>
      </c>
    </row>
    <row r="51" customFormat="false" ht="15" hidden="false" customHeight="false" outlineLevel="0" collapsed="false">
      <c r="A51" s="10" t="n">
        <v>46303</v>
      </c>
      <c r="B51" s="6" t="n">
        <v>1719739.63</v>
      </c>
      <c r="C51" s="6" t="n">
        <v>250</v>
      </c>
      <c r="D51" s="6" t="n">
        <v>249</v>
      </c>
      <c r="E51" s="6" t="n">
        <f aca="false">IF(C51=0,0,B51/C51)</f>
        <v>6878.95852</v>
      </c>
      <c r="F51" s="6" t="n">
        <f aca="false">AVERAGE(B45:B51)</f>
        <v>1768951.75857143</v>
      </c>
      <c r="G51" s="7" t="n">
        <f aca="false">IF(B44=0,"",B51/B44-1)</f>
        <v>0.176390349405192</v>
      </c>
    </row>
    <row r="52" customFormat="false" ht="15" hidden="false" customHeight="false" outlineLevel="0" collapsed="false">
      <c r="A52" s="10" t="n">
        <v>46304</v>
      </c>
      <c r="B52" s="6" t="n">
        <v>1792446.55</v>
      </c>
      <c r="C52" s="6" t="n">
        <v>262</v>
      </c>
      <c r="D52" s="6" t="n">
        <v>259</v>
      </c>
      <c r="E52" s="6" t="n">
        <f aca="false">IF(C52=0,0,B52/C52)</f>
        <v>6841.39904580153</v>
      </c>
      <c r="F52" s="6" t="n">
        <f aca="false">AVERAGE(B46:B52)</f>
        <v>1780070.18285714</v>
      </c>
      <c r="G52" s="7" t="n">
        <f aca="false">IF(B45=0,"",B52/B45-1)</f>
        <v>0.0453914452457673</v>
      </c>
    </row>
    <row r="53" customFormat="false" ht="15" hidden="false" customHeight="false" outlineLevel="0" collapsed="false">
      <c r="A53" s="10" t="n">
        <v>46305</v>
      </c>
      <c r="B53" s="6" t="n">
        <v>2030282.83</v>
      </c>
      <c r="C53" s="6" t="n">
        <v>307</v>
      </c>
      <c r="D53" s="6" t="n">
        <v>306</v>
      </c>
      <c r="E53" s="6" t="n">
        <f aca="false">IF(C53=0,0,B53/C53)</f>
        <v>6613.29912052117</v>
      </c>
      <c r="F53" s="6" t="n">
        <f aca="false">AVERAGE(B47:B53)</f>
        <v>1730811.29142857</v>
      </c>
      <c r="G53" s="7" t="n">
        <f aca="false">IF(B46=0,"",B53/B46-1)</f>
        <v>-0.145178289642107</v>
      </c>
    </row>
    <row r="54" customFormat="false" ht="15" hidden="false" customHeight="false" outlineLevel="0" collapsed="false">
      <c r="A54" s="10" t="n">
        <v>46306</v>
      </c>
      <c r="B54" s="6" t="n">
        <v>2369381.27</v>
      </c>
      <c r="C54" s="6" t="n">
        <v>390</v>
      </c>
      <c r="D54" s="6" t="n">
        <v>387</v>
      </c>
      <c r="E54" s="6" t="n">
        <f aca="false">IF(C54=0,0,B54/C54)</f>
        <v>6075.33658974359</v>
      </c>
      <c r="F54" s="6" t="n">
        <f aca="false">AVERAGE(B48:B54)</f>
        <v>1830552.84428571</v>
      </c>
      <c r="G54" s="7" t="n">
        <f aca="false">IF(B47=0,"",B54/B47-1)</f>
        <v>0.417780565278499</v>
      </c>
    </row>
    <row r="55" customFormat="false" ht="15" hidden="false" customHeight="false" outlineLevel="0" collapsed="false">
      <c r="A55" s="10" t="n">
        <v>46307</v>
      </c>
      <c r="B55" s="6" t="n">
        <v>1689027.45</v>
      </c>
      <c r="C55" s="6" t="n">
        <v>216</v>
      </c>
      <c r="D55" s="6" t="n">
        <v>215</v>
      </c>
      <c r="E55" s="6" t="n">
        <f aca="false">IF(C55=0,0,B55/C55)</f>
        <v>7819.57152777778</v>
      </c>
      <c r="F55" s="6" t="n">
        <f aca="false">AVERAGE(B49:B55)</f>
        <v>1833140.04857143</v>
      </c>
      <c r="G55" s="7" t="n">
        <f aca="false">IF(B48=0,"",B55/B48-1)</f>
        <v>0.0108386172282811</v>
      </c>
    </row>
    <row r="56" customFormat="false" ht="15" hidden="false" customHeight="false" outlineLevel="0" collapsed="false">
      <c r="A56" s="10" t="n">
        <v>46308</v>
      </c>
      <c r="B56" s="6" t="n">
        <v>1404985.04</v>
      </c>
      <c r="C56" s="6" t="n">
        <v>209</v>
      </c>
      <c r="D56" s="6" t="n">
        <v>209</v>
      </c>
      <c r="E56" s="6" t="n">
        <f aca="false">IF(C56=0,0,B56/C56)</f>
        <v>6722.41645933014</v>
      </c>
      <c r="F56" s="6" t="n">
        <f aca="false">AVERAGE(B50:B56)</f>
        <v>1805840.05714286</v>
      </c>
      <c r="G56" s="7" t="n">
        <f aca="false">IF(B49=0,"",B56/B49-1)</f>
        <v>-0.119730429391047</v>
      </c>
    </row>
    <row r="57" customFormat="false" ht="15" hidden="false" customHeight="false" outlineLevel="0" collapsed="false">
      <c r="A57" s="10" t="n">
        <v>46309</v>
      </c>
      <c r="B57" s="6" t="n">
        <v>1839870.71</v>
      </c>
      <c r="C57" s="6" t="n">
        <v>257</v>
      </c>
      <c r="D57" s="6" t="n">
        <v>254</v>
      </c>
      <c r="E57" s="6" t="n">
        <f aca="false">IF(C57=0,0,B57/C57)</f>
        <v>7159.03</v>
      </c>
      <c r="F57" s="6" t="n">
        <f aca="false">AVERAGE(B51:B57)</f>
        <v>1835104.78285714</v>
      </c>
      <c r="G57" s="7" t="n">
        <f aca="false">IF(B50=0,"",B57/B50-1)</f>
        <v>0.125291052672013</v>
      </c>
    </row>
    <row r="58" customFormat="false" ht="15" hidden="false" customHeight="false" outlineLevel="0" collapsed="false">
      <c r="A58" s="10" t="n">
        <v>46310</v>
      </c>
      <c r="B58" s="6" t="n">
        <v>1824865.42</v>
      </c>
      <c r="C58" s="6" t="n">
        <v>274</v>
      </c>
      <c r="D58" s="6" t="n">
        <v>271</v>
      </c>
      <c r="E58" s="6" t="n">
        <f aca="false">IF(C58=0,0,B58/C58)</f>
        <v>6660.09277372263</v>
      </c>
      <c r="F58" s="6" t="n">
        <f aca="false">AVERAGE(B52:B58)</f>
        <v>1850122.75285714</v>
      </c>
      <c r="G58" s="7" t="n">
        <f aca="false">IF(B51=0,"",B58/B51-1)</f>
        <v>0.0611288989136105</v>
      </c>
    </row>
    <row r="59" customFormat="false" ht="15" hidden="false" customHeight="false" outlineLevel="0" collapsed="false">
      <c r="A59" s="10" t="n">
        <v>46311</v>
      </c>
      <c r="B59" s="6" t="n">
        <v>1599438.3</v>
      </c>
      <c r="C59" s="6" t="n">
        <v>275</v>
      </c>
      <c r="D59" s="6" t="n">
        <v>275</v>
      </c>
      <c r="E59" s="6" t="n">
        <f aca="false">IF(C59=0,0,B59/C59)</f>
        <v>5816.13927272727</v>
      </c>
      <c r="F59" s="6" t="n">
        <f aca="false">AVERAGE(B53:B59)</f>
        <v>1822550.14571429</v>
      </c>
      <c r="G59" s="7" t="n">
        <f aca="false">IF(B52=0,"",B59/B52-1)</f>
        <v>-0.107678664114141</v>
      </c>
    </row>
    <row r="60" customFormat="false" ht="15" hidden="false" customHeight="false" outlineLevel="0" collapsed="false">
      <c r="A60" s="10" t="n">
        <v>46312</v>
      </c>
      <c r="B60" s="6" t="n">
        <v>2077055.59</v>
      </c>
      <c r="C60" s="6" t="n">
        <v>313</v>
      </c>
      <c r="D60" s="6" t="n">
        <v>309</v>
      </c>
      <c r="E60" s="6" t="n">
        <f aca="false">IF(C60=0,0,B60/C60)</f>
        <v>6635.9603514377</v>
      </c>
      <c r="F60" s="6" t="n">
        <f aca="false">AVERAGE(B54:B60)</f>
        <v>1829231.96857143</v>
      </c>
      <c r="G60" s="7" t="n">
        <f aca="false">IF(B53=0,"",B60/B53-1)</f>
        <v>0.0230375587621947</v>
      </c>
    </row>
    <row r="61" customFormat="false" ht="15" hidden="false" customHeight="false" outlineLevel="0" collapsed="false">
      <c r="A61" s="10" t="n">
        <v>46313</v>
      </c>
      <c r="B61" s="6" t="n">
        <v>1037596.72</v>
      </c>
      <c r="C61" s="6" t="n">
        <v>162</v>
      </c>
      <c r="D61" s="6" t="n">
        <v>161</v>
      </c>
      <c r="E61" s="6" t="n">
        <f aca="false">IF(C61=0,0,B61/C61)</f>
        <v>6404.91802469136</v>
      </c>
      <c r="F61" s="6" t="n">
        <f aca="false">AVERAGE(B55:B61)</f>
        <v>1638977.03285714</v>
      </c>
      <c r="G61" s="7" t="n">
        <f aca="false">IF(B54=0,"",B61/B54-1)</f>
        <v>-0.562081150409364</v>
      </c>
    </row>
  </sheetData>
  <conditionalFormatting sqref="G9:G61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4" t="s">
        <v>25</v>
      </c>
      <c r="B1" s="4" t="s">
        <v>3</v>
      </c>
      <c r="C1" s="4" t="s">
        <v>4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5" t="s">
        <v>29</v>
      </c>
      <c r="B2" s="6" t="n">
        <v>296499.19</v>
      </c>
      <c r="C2" s="6" t="n">
        <v>727643.02</v>
      </c>
      <c r="D2" s="6" t="n">
        <f aca="false">B2-C2</f>
        <v>-431143.83</v>
      </c>
      <c r="E2" s="7" t="n">
        <f aca="false">IF(C2=0,"",B2/C2-1)</f>
        <v>-0.592521082659461</v>
      </c>
      <c r="F2" s="11" t="n">
        <f aca="false">IF(SUM(B$2:B$7)=0,0,B2/SUM(B$2:B$7))</f>
        <v>0.285755712489145</v>
      </c>
    </row>
    <row r="3" customFormat="false" ht="15" hidden="false" customHeight="false" outlineLevel="0" collapsed="false">
      <c r="A3" s="5" t="s">
        <v>30</v>
      </c>
      <c r="B3" s="6" t="n">
        <v>243324.73</v>
      </c>
      <c r="C3" s="6" t="n">
        <v>390735.19</v>
      </c>
      <c r="D3" s="6" t="n">
        <f aca="false">B3-C3</f>
        <v>-147410.46</v>
      </c>
      <c r="E3" s="7" t="n">
        <f aca="false">IF(C3=0,"",B3/C3-1)</f>
        <v>-0.377264356455839</v>
      </c>
      <c r="F3" s="11" t="n">
        <f aca="false">IF(SUM(B$2:B$7)=0,0,B3/SUM(B$2:B$7))</f>
        <v>0.234507998444714</v>
      </c>
    </row>
    <row r="4" customFormat="false" ht="15" hidden="false" customHeight="false" outlineLevel="0" collapsed="false">
      <c r="A4" s="5" t="s">
        <v>31</v>
      </c>
      <c r="B4" s="6" t="n">
        <v>167973.66</v>
      </c>
      <c r="C4" s="6" t="n">
        <v>365901.42</v>
      </c>
      <c r="D4" s="6" t="n">
        <f aca="false">B4-C4</f>
        <v>-197927.76</v>
      </c>
      <c r="E4" s="7" t="n">
        <f aca="false">IF(C4=0,"",B4/C4-1)</f>
        <v>-0.54093192641887</v>
      </c>
      <c r="F4" s="11" t="n">
        <f aca="false">IF(SUM(B$2:B$7)=0,0,B4/SUM(B$2:B$7))</f>
        <v>0.161887231100731</v>
      </c>
    </row>
    <row r="5" customFormat="false" ht="15" hidden="false" customHeight="false" outlineLevel="0" collapsed="false">
      <c r="A5" s="5" t="s">
        <v>32</v>
      </c>
      <c r="B5" s="6" t="n">
        <v>154822.78</v>
      </c>
      <c r="C5" s="6" t="n">
        <v>213280.47</v>
      </c>
      <c r="D5" s="6" t="n">
        <f aca="false">B5-C5</f>
        <v>-58457.69</v>
      </c>
      <c r="E5" s="7" t="n">
        <f aca="false">IF(C5=0,"",B5/C5-1)</f>
        <v>-0.274088340109153</v>
      </c>
      <c r="F5" s="11" t="n">
        <f aca="false">IF(SUM(B$2:B$7)=0,0,B5/SUM(B$2:B$7))</f>
        <v>0.149212865669043</v>
      </c>
    </row>
    <row r="6" customFormat="false" ht="15" hidden="false" customHeight="false" outlineLevel="0" collapsed="false">
      <c r="A6" s="5" t="s">
        <v>33</v>
      </c>
      <c r="B6" s="6" t="n">
        <v>88356.35</v>
      </c>
      <c r="C6" s="6" t="n">
        <v>290040.32</v>
      </c>
      <c r="D6" s="6" t="n">
        <f aca="false">B6-C6</f>
        <v>-201683.97</v>
      </c>
      <c r="E6" s="7" t="n">
        <f aca="false">IF(C6=0,"",B6/C6-1)</f>
        <v>-0.695365285764407</v>
      </c>
      <c r="F6" s="11" t="n">
        <f aca="false">IF(SUM(B$2:B$7)=0,0,B6/SUM(B$2:B$7))</f>
        <v>0.0851548085078758</v>
      </c>
    </row>
    <row r="7" customFormat="false" ht="15" hidden="false" customHeight="false" outlineLevel="0" collapsed="false">
      <c r="A7" s="5" t="s">
        <v>34</v>
      </c>
      <c r="B7" s="6" t="n">
        <v>86620.01</v>
      </c>
      <c r="C7" s="6" t="n">
        <v>381780.85</v>
      </c>
      <c r="D7" s="6" t="n">
        <f aca="false">B7-C7</f>
        <v>-295160.84</v>
      </c>
      <c r="E7" s="7" t="n">
        <f aca="false">IF(C7=0,"",B7/C7-1)</f>
        <v>-0.773115885723446</v>
      </c>
      <c r="F7" s="11" t="n">
        <f aca="false">IF(SUM(B$2:B$7)=0,0,B7/SUM(B$2:B$7))</f>
        <v>0.0834813837884915</v>
      </c>
    </row>
    <row r="8" customFormat="false" ht="15" hidden="false" customHeight="false" outlineLevel="0" collapsed="false">
      <c r="A8" s="12" t="s">
        <v>35</v>
      </c>
      <c r="B8" s="13" t="n">
        <f aca="false">SUM(B2:B7)</f>
        <v>1037596.72</v>
      </c>
      <c r="C8" s="13" t="n">
        <f aca="false">SUM(C2:C7)</f>
        <v>2369381.27</v>
      </c>
      <c r="D8" s="13" t="n">
        <f aca="false">SUM(D2:D7)</f>
        <v>-1331784.55</v>
      </c>
      <c r="E8" s="14" t="n">
        <f aca="false">IF(C8=0,"",B8/C8-1)</f>
        <v>-0.562081150409364</v>
      </c>
      <c r="F8" s="15" t="n">
        <f aca="false">SUM(F2:F7)</f>
        <v>1</v>
      </c>
    </row>
  </sheetData>
  <conditionalFormatting sqref="E2:E7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4" t="s">
        <v>36</v>
      </c>
      <c r="B1" s="4" t="s">
        <v>3</v>
      </c>
      <c r="C1" s="4" t="s">
        <v>4</v>
      </c>
      <c r="D1" s="4" t="s">
        <v>26</v>
      </c>
      <c r="E1" s="4" t="s">
        <v>27</v>
      </c>
      <c r="F1" s="4" t="s">
        <v>28</v>
      </c>
    </row>
    <row r="2" customFormat="false" ht="15" hidden="false" customHeight="false" outlineLevel="0" collapsed="false">
      <c r="A2" s="5" t="s">
        <v>37</v>
      </c>
      <c r="B2" s="6" t="n">
        <v>557323.28</v>
      </c>
      <c r="C2" s="6" t="n">
        <v>1170838.85</v>
      </c>
      <c r="D2" s="6" t="n">
        <f aca="false">B2-C2</f>
        <v>-613515.57</v>
      </c>
      <c r="E2" s="7" t="n">
        <f aca="false">IF(C2=0,"",B2/C2-1)</f>
        <v>-0.523996594407505</v>
      </c>
      <c r="F2" s="11" t="n">
        <f aca="false">IF(SUM(B$2:B$5)=0,0,B2/SUM(B$2:B$5))</f>
        <v>0.537128991695348</v>
      </c>
    </row>
    <row r="3" customFormat="false" ht="15" hidden="false" customHeight="false" outlineLevel="0" collapsed="false">
      <c r="A3" s="5" t="s">
        <v>38</v>
      </c>
      <c r="B3" s="6" t="n">
        <v>280078.51</v>
      </c>
      <c r="C3" s="6" t="n">
        <v>372601.75</v>
      </c>
      <c r="D3" s="6" t="n">
        <f aca="false">B3-C3</f>
        <v>-92523.24</v>
      </c>
      <c r="E3" s="7" t="n">
        <f aca="false">IF(C3=0,"",B3/C3-1)</f>
        <v>-0.248316708120668</v>
      </c>
      <c r="F3" s="11" t="n">
        <f aca="false">IF(SUM(B$2:B$5)=0,0,B3/SUM(B$2:B$5))</f>
        <v>0.269930026378649</v>
      </c>
    </row>
    <row r="4" customFormat="false" ht="15" hidden="false" customHeight="false" outlineLevel="0" collapsed="false">
      <c r="A4" s="5" t="s">
        <v>39</v>
      </c>
      <c r="B4" s="6" t="n">
        <v>150346.33</v>
      </c>
      <c r="C4" s="6" t="n">
        <v>696061.78</v>
      </c>
      <c r="D4" s="6" t="n">
        <f aca="false">B4-C4</f>
        <v>-545715.45</v>
      </c>
      <c r="E4" s="7" t="n">
        <f aca="false">IF(C4=0,"",B4/C4-1)</f>
        <v>-0.784004330765008</v>
      </c>
      <c r="F4" s="11" t="n">
        <f aca="false">IF(SUM(B$2:B$5)=0,0,B4/SUM(B$2:B$5))</f>
        <v>0.144898617258543</v>
      </c>
    </row>
    <row r="5" customFormat="false" ht="15" hidden="false" customHeight="false" outlineLevel="0" collapsed="false">
      <c r="A5" s="5" t="s">
        <v>40</v>
      </c>
      <c r="B5" s="6" t="n">
        <v>49848.6</v>
      </c>
      <c r="C5" s="6" t="n">
        <v>129878.89</v>
      </c>
      <c r="D5" s="6" t="n">
        <f aca="false">B5-C5</f>
        <v>-80030.29</v>
      </c>
      <c r="E5" s="7" t="n">
        <f aca="false">IF(C5=0,"",B5/C5-1)</f>
        <v>-0.616191669023349</v>
      </c>
      <c r="F5" s="11" t="n">
        <f aca="false">IF(SUM(B$2:B$5)=0,0,B5/SUM(B$2:B$5))</f>
        <v>0.0480423646674596</v>
      </c>
    </row>
    <row r="6" customFormat="false" ht="15" hidden="false" customHeight="false" outlineLevel="0" collapsed="false">
      <c r="A6" s="12" t="s">
        <v>35</v>
      </c>
      <c r="B6" s="13" t="n">
        <f aca="false">SUM(B2:B5)</f>
        <v>1037596.72</v>
      </c>
      <c r="C6" s="13" t="n">
        <f aca="false">SUM(C2:C5)</f>
        <v>2369381.27</v>
      </c>
      <c r="D6" s="13" t="n">
        <f aca="false">SUM(D2:D5)</f>
        <v>-1331784.55</v>
      </c>
      <c r="E6" s="14" t="n">
        <f aca="false">IF(C6=0,"",B6/C6-1)</f>
        <v>-0.562081150409364</v>
      </c>
      <c r="F6" s="15" t="n">
        <f aca="false">SUM(F2:F5)</f>
        <v>1</v>
      </c>
    </row>
  </sheetData>
  <conditionalFormatting sqref="E2:E5">
    <cfRule type="cellIs" priority="2" operator="lessThan" aboveAverage="0" equalAverage="0" bottom="0" percent="0" rank="0" text="" dxfId="0">
      <formula>-0.2</formula>
    </cfRule>
    <cfRule type="cellIs" priority="3" operator="greaterThan" aboveAverage="0" equalAverage="0" bottom="0" percent="0" rank="0" text="" dxfId="1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4" t="s">
        <v>41</v>
      </c>
      <c r="B1" s="4" t="s">
        <v>42</v>
      </c>
      <c r="C1" s="4" t="s">
        <v>43</v>
      </c>
    </row>
    <row r="2" customFormat="false" ht="15" hidden="false" customHeight="false" outlineLevel="0" collapsed="false">
      <c r="A2" s="5" t="s">
        <v>44</v>
      </c>
      <c r="B2" s="16" t="s">
        <v>45</v>
      </c>
      <c r="C2" s="5" t="s">
        <v>46</v>
      </c>
    </row>
    <row r="3" customFormat="false" ht="15" hidden="false" customHeight="false" outlineLevel="0" collapsed="false">
      <c r="A3" s="5" t="s">
        <v>47</v>
      </c>
      <c r="B3" s="16" t="s">
        <v>45</v>
      </c>
      <c r="C3" s="5" t="s">
        <v>48</v>
      </c>
    </row>
    <row r="4" customFormat="false" ht="15" hidden="false" customHeight="false" outlineLevel="0" collapsed="false">
      <c r="A4" s="5" t="s">
        <v>49</v>
      </c>
      <c r="B4" s="16" t="s">
        <v>45</v>
      </c>
      <c r="C4" s="5" t="s">
        <v>50</v>
      </c>
    </row>
    <row r="5" customFormat="false" ht="15" hidden="false" customHeight="false" outlineLevel="0" collapsed="false">
      <c r="A5" s="5" t="s">
        <v>51</v>
      </c>
      <c r="B5" s="16" t="s">
        <v>45</v>
      </c>
      <c r="C5" s="5" t="s">
        <v>52</v>
      </c>
    </row>
    <row r="6" customFormat="false" ht="15" hidden="false" customHeight="false" outlineLevel="0" collapsed="false">
      <c r="A6" s="5" t="s">
        <v>53</v>
      </c>
      <c r="B6" s="16" t="s">
        <v>45</v>
      </c>
      <c r="C6" s="5" t="s">
        <v>52</v>
      </c>
    </row>
    <row r="7" customFormat="false" ht="15" hidden="false" customHeight="false" outlineLevel="0" collapsed="false">
      <c r="A7" s="5" t="s">
        <v>54</v>
      </c>
      <c r="B7" s="16" t="s">
        <v>45</v>
      </c>
      <c r="C7" s="5" t="s">
        <v>55</v>
      </c>
    </row>
    <row r="8" customFormat="false" ht="15" hidden="false" customHeight="false" outlineLevel="0" collapsed="false">
      <c r="A8" s="5" t="s">
        <v>56</v>
      </c>
      <c r="B8" s="16" t="s">
        <v>45</v>
      </c>
      <c r="C8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2026-10-22T13:02:30Z</dcterms:created>
  <dc:creator>openpyxl</dc:creator>
  <dc:description/>
  <dc:language>en-US</dc:language>
  <cp:lastModifiedBy/>
  <dcterms:modified xsi:type="dcterms:W3CDTF">2026-10-22T16:02:34Z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